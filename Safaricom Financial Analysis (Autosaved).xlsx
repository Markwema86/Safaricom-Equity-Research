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ocuments\PROJECTS\Excel Files\"/>
    </mc:Choice>
  </mc:AlternateContent>
  <bookViews>
    <workbookView xWindow="0" yWindow="0" windowWidth="19200" windowHeight="6930" activeTab="1"/>
  </bookViews>
  <sheets>
    <sheet name="Financial Analysis" sheetId="1" r:id="rId1"/>
    <sheet name="Trend Summary" sheetId="2" r:id="rId2"/>
  </sheets>
  <externalReferences>
    <externalReference r:id="rId3"/>
  </externalReferences>
  <calcPr calcId="162913" iterateDelta="1E-4"/>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 i="2" l="1"/>
  <c r="I7" i="2"/>
  <c r="H7" i="2"/>
  <c r="I6" i="2"/>
  <c r="H6" i="2"/>
  <c r="I5" i="2"/>
  <c r="H5" i="2"/>
  <c r="I4" i="2"/>
  <c r="F24" i="1"/>
  <c r="E24" i="1"/>
  <c r="D24" i="1"/>
  <c r="C24" i="1"/>
  <c r="B24" i="1"/>
  <c r="F23" i="1"/>
  <c r="E23" i="1"/>
  <c r="D23" i="1"/>
  <c r="C23" i="1"/>
  <c r="B23" i="1"/>
  <c r="F22" i="1"/>
  <c r="E22" i="1"/>
  <c r="D22" i="1"/>
  <c r="C22" i="1"/>
  <c r="B22" i="1"/>
  <c r="F21" i="1"/>
  <c r="E21" i="1"/>
  <c r="D21" i="1"/>
  <c r="C21" i="1"/>
  <c r="B21" i="1"/>
  <c r="F20" i="1"/>
  <c r="E20" i="1"/>
  <c r="D20" i="1"/>
  <c r="C20" i="1"/>
  <c r="B20" i="1"/>
  <c r="F19" i="1"/>
  <c r="E19" i="1"/>
  <c r="D19" i="1"/>
  <c r="C19" i="1"/>
  <c r="B19" i="1"/>
</calcChain>
</file>

<file path=xl/sharedStrings.xml><?xml version="1.0" encoding="utf-8"?>
<sst xmlns="http://schemas.openxmlformats.org/spreadsheetml/2006/main" count="154" uniqueCount="123">
  <si>
    <t>SAFARICOM PLC (NSE: SCOM) - EQUITY RESEARCH ANALYSIS</t>
  </si>
  <si>
    <t>Source: Safaricom PLC FY2025 Annual Results | Report Date: May 2026 | All figures in KES billions unless stated</t>
  </si>
  <si>
    <t xml:space="preserve">  SECTION 1 · HISTORICAL FINANCIAL DATA  (Blue = hardcoded inputs)</t>
  </si>
  <si>
    <t>Metric</t>
  </si>
  <si>
    <t>FY2021</t>
  </si>
  <si>
    <t>FY2022</t>
  </si>
  <si>
    <t>FY2023</t>
  </si>
  <si>
    <t>FY2024</t>
  </si>
  <si>
    <t>FY2025</t>
  </si>
  <si>
    <t>Total Revenue (KES bn)</t>
  </si>
  <si>
    <t>M-PESA Revenue (KES bn)</t>
  </si>
  <si>
    <t>Mobile Data Revenue (KES bn)</t>
  </si>
  <si>
    <t>Voice Revenue (KES bn)</t>
  </si>
  <si>
    <t>Net Profit / PAT (KES bn)</t>
  </si>
  <si>
    <t>EBIT (KES bn)</t>
  </si>
  <si>
    <t>Operating FCF (KES bn)</t>
  </si>
  <si>
    <t>EPS (KES)</t>
  </si>
  <si>
    <t>DPS (KES)</t>
  </si>
  <si>
    <t>30-day Active Customers (mn)</t>
  </si>
  <si>
    <t xml:space="preserve">  SECTION 2 · GROWTH CALCULATIONS  (Formulas auto-calculated)</t>
  </si>
  <si>
    <t>3-Yr CAGR</t>
  </si>
  <si>
    <t>Revenue Growth YoY (%)</t>
  </si>
  <si>
    <t>M-PESA Revenue Growth (%)</t>
  </si>
  <si>
    <t>Net Profit Growth (%)</t>
  </si>
  <si>
    <t>EBIT Growth (%)</t>
  </si>
  <si>
    <t>EPS Growth (%)</t>
  </si>
  <si>
    <t>Active Customers Growth (%)</t>
  </si>
  <si>
    <t xml:space="preserve">  SECTION 3 · KEY INSIGHTS</t>
  </si>
  <si>
    <t>Theme</t>
  </si>
  <si>
    <t>Analyst Interpretation</t>
  </si>
  <si>
    <t>📈  Revenue Growth</t>
  </si>
  <si>
    <t>Revenue grew at a 3-year CAGR of ~13.5%, driven primarily by M-PESA business payments (+27.4% YoY) and mobile data expansion. This confirms Safaricom's successful pivot from a voice-centric telco to a digital financial services platform. Growth is structural, not cyclical.</t>
  </si>
  <si>
    <t>💳  M-PESA Dominance</t>
  </si>
  <si>
    <t>M-PESA now represents ~41% of total group revenue and is growing faster than the core business. With 37.2 billion transactions processed in FY2025 worth KES 38.3 trillion, M-PESA is deeply embedded in Kenya's economic infrastructure - a powerful moat. C2B/B2B payments growing at 27.4% signals rising enterprise monetisation.</t>
  </si>
  <si>
    <t>📉  Profit Dip (FY2024) - Explained</t>
  </si>
  <si>
    <t>Net profit fell from KES 67.6bn (FY2023) to KES 63.0bn (FY2024) despite revenue growth - a RED FLAG on the surface. The cause: KES 20.9bn in Ethiopian birr FX losses. Excluding one-off FX impact, Kenya-only PAT grew steadily. FY2025 recovery to KES 69.8bn (+10.8%) confirms the Kenya core remains strong.</t>
  </si>
  <si>
    <t>🇪🇹  Ethiopia - The Hidden Optionality</t>
  </si>
  <si>
    <t>Ethiopia contributed KES 26.0bn in service revenue in FY2025 (+35% YoY in local terms). With 8.8 million active customers in a 120-million-person market at 65%+ mobile penetration runway, the long-term opportunity is substantial. Management targets EBITDA breakeven by FY2027. Currently a drag on earnings - but priced at near-zero in today's valuation.</t>
  </si>
  <si>
    <t>💰  Cash Flow Quality</t>
  </si>
  <si>
    <t>Operating FCF of KES 148.9bn (FY2025) significantly exceeds reported net profit of KES 69.8bn, indicating high earnings quality and strong working capital management. FCF conversion rate ~214% of PAT - a hallmark of capital-light platform businesses with negative working capital cycles.</t>
  </si>
  <si>
    <t>📊  EPS Trend</t>
  </si>
  <si>
    <t>EPS dipped from KES 1.69 to KES 1.57 in FY2024 (Ethiopia FX impact) before recovering to KES 1.74 in FY2025. The underlying trend is upward. Forward EPS growth of 10-15% is achievable as Ethiopia losses narrow and Kenya M-PESA monetisation deepens - implying a compelling forward P/E of ~12.2x at current price.</t>
  </si>
  <si>
    <t xml:space="preserve">  SECTION 4 · RISKS</t>
  </si>
  <si>
    <t>Risk Category</t>
  </si>
  <si>
    <t>Severity</t>
  </si>
  <si>
    <t>Likelihood</t>
  </si>
  <si>
    <t>Detail &amp; Mitigation</t>
  </si>
  <si>
    <t>⚖️  Regulatory Risk</t>
  </si>
  <si>
    <t>HIGH</t>
  </si>
  <si>
    <t>MEDIUM</t>
  </si>
  <si>
    <r>
      <t xml:space="preserve">Communications Authority of Kenya (CA) may impose M-PESA interoperability mandates, lower interconnection rates, or structural separation. Safaricom's 65%+ market share makes it a regulatory target. </t>
    </r>
    <r>
      <rPr>
        <b/>
        <sz val="9"/>
        <color rgb="FF1A1A1A"/>
        <rFont val="Times New Roman"/>
        <family val="1"/>
      </rPr>
      <t>Mitigation:</t>
    </r>
    <r>
      <rPr>
        <sz val="9"/>
        <color rgb="FF1A1A1A"/>
        <rFont val="Times New Roman"/>
        <family val="1"/>
      </rPr>
      <t xml:space="preserve"> Strong lobbying track record; government is a 35% shareholder (aligned interests).</t>
    </r>
  </si>
  <si>
    <t>🏁  Competition</t>
  </si>
  <si>
    <r>
      <t xml:space="preserve">Airtel Kenya (backed by Airtel Africa) is investing in network quality and pricing aggression. However, M-PESA's 37 million active users and deep merchant network create near-insurmountable switching costs. </t>
    </r>
    <r>
      <rPr>
        <b/>
        <sz val="9"/>
        <color rgb="FF1A1A1A"/>
        <rFont val="Times New Roman"/>
        <family val="1"/>
      </rPr>
      <t>Mitigation:</t>
    </r>
    <r>
      <rPr>
        <sz val="9"/>
        <color rgb="FF1A1A1A"/>
        <rFont val="Times New Roman"/>
        <family val="1"/>
      </rPr>
      <t xml:space="preserve"> M-PESA ecosystem lock-in is the primary competitive moat.</t>
    </r>
  </si>
  <si>
    <t>📡  Market Saturation</t>
  </si>
  <si>
    <r>
      <t xml:space="preserve">Kenya mobile SIM penetration exceeds 120%, meaning pure subscriber growth is limited. Future growth must come from ARPU expansion through data, fintech, and digital services. </t>
    </r>
    <r>
      <rPr>
        <b/>
        <sz val="9"/>
        <color rgb="FF1A1A1A"/>
        <rFont val="Times New Roman"/>
        <family val="1"/>
      </rPr>
      <t>Mitigation:</t>
    </r>
    <r>
      <rPr>
        <sz val="9"/>
        <color rgb="FF1A1A1A"/>
        <rFont val="Times New Roman"/>
        <family val="1"/>
      </rPr>
      <t xml:space="preserve"> M-PESA business payments growing 27.4% YoY shows clear ARPU upsell momentum.</t>
    </r>
  </si>
  <si>
    <t>💱  Currency / FX Risk</t>
  </si>
  <si>
    <r>
      <t xml:space="preserve">Ethiopian birr devaluation caused KES 20.9bn in FX losses in FY2025 (vs. KES 0.56bn in FY2024). Further birr weakness or KES depreciation vs. USD would inflate Ethiopia capex costs and compress margins. </t>
    </r>
    <r>
      <rPr>
        <b/>
        <sz val="9"/>
        <color rgb="FF1A1A1A"/>
        <rFont val="Times New Roman"/>
        <family val="1"/>
      </rPr>
      <t>Mitigation:</t>
    </r>
    <r>
      <rPr>
        <sz val="9"/>
        <color rgb="FF1A1A1A"/>
        <rFont val="Times New Roman"/>
        <family val="1"/>
      </rPr>
      <t xml:space="preserve"> Natural hedging through local revenue; USD borrowing being renegotiated.</t>
    </r>
  </si>
  <si>
    <t>📉  Macro / Inflation</t>
  </si>
  <si>
    <r>
      <t xml:space="preserve">Kenya's high cost of living and elevated interest rates (CBK benchmark at 13%) compress consumer wallets, potentially reducing M-PESA transaction frequency. SME failures could reduce merchant ecosystem activity. </t>
    </r>
    <r>
      <rPr>
        <b/>
        <sz val="9"/>
        <color rgb="FF1A1A1A"/>
        <rFont val="Times New Roman"/>
        <family val="1"/>
      </rPr>
      <t>Mitigation:</t>
    </r>
    <r>
      <rPr>
        <sz val="9"/>
        <color rgb="FF1A1A1A"/>
        <rFont val="Times New Roman"/>
        <family val="1"/>
      </rPr>
      <t xml:space="preserve"> M-PESA Fuliza (overdraft) usage tends to increase in downturns - counter-cyclical element.</t>
    </r>
  </si>
  <si>
    <t>🔒  Cybersecurity</t>
  </si>
  <si>
    <t>LOW</t>
  </si>
  <si>
    <r>
      <t xml:space="preserve">As critical financial infrastructure, Safaricom is an attractive cyberattack target. A material breach of M-PESA could trigger regulatory fines, customer churn, and reputational damage. </t>
    </r>
    <r>
      <rPr>
        <b/>
        <sz val="9"/>
        <color rgb="FF1A1A1A"/>
        <rFont val="Times New Roman"/>
        <family val="1"/>
      </rPr>
      <t>Mitigation:</t>
    </r>
    <r>
      <rPr>
        <sz val="9"/>
        <color rgb="FF1A1A1A"/>
        <rFont val="Times New Roman"/>
        <family val="1"/>
      </rPr>
      <t xml:space="preserve"> ISO 27001 certified; dedicated cybersecurity team; ongoing infrastructure hardening.</t>
    </r>
  </si>
  <si>
    <t>🇪🇹  Ethiopia Execution</t>
  </si>
  <si>
    <t>Ethiopia remains loss-making and subject to civil conflict risk (Tigray region tensions), currency controls, and slower-than-expected market development. Delays to FY2027 EBITDA breakeven target would extend the investment horizon and dilute group ROE. Mitigation: Management has moderated Ethiopia capex guidance within USD 1.3bn 5-year cap.</t>
  </si>
  <si>
    <t xml:space="preserve">  SECTION 5 · VALUATION</t>
  </si>
  <si>
    <t>Value</t>
  </si>
  <si>
    <t>Signal</t>
  </si>
  <si>
    <t>Interpretation</t>
  </si>
  <si>
    <t>Current Price (NSE: SCOM)</t>
  </si>
  <si>
    <t>KES 29.70</t>
  </si>
  <si>
    <t>NEUTRAL</t>
  </si>
  <si>
    <t>As of 30 Apr 2026. 52-week range: KES 15.65 - 31.00. Stock up +67% YoY - significant re-rating already priced in.</t>
  </si>
  <si>
    <t>Market Cap</t>
  </si>
  <si>
    <t>KES 1.19tn</t>
  </si>
  <si>
    <t>POSITIVE</t>
  </si>
  <si>
    <t>~34.7% of total NSE market cap. Largest company on the Nairobi Securities Exchange by a wide margin.</t>
  </si>
  <si>
    <t>Trailing P/E</t>
  </si>
  <si>
    <t>16.4x</t>
  </si>
  <si>
    <t>Revenue + profit both growing consistently  POSITIVE SIGNAL. P/E of 16.4x is fair for a dominant EM telco with fintech upside.</t>
  </si>
  <si>
    <t>Forward P/E (FY2026E)</t>
  </si>
  <si>
    <t>12.2x</t>
  </si>
  <si>
    <t>Compelling entry point on a forward basis. Implies ~35% earnings growth priced in - achievable given M-PESA trajectory.</t>
  </si>
  <si>
    <t>EV/EBITDA</t>
  </si>
  <si>
    <t>6.9x</t>
  </si>
  <si>
    <t>Significant discount to global telco peers (8 - 10x) and pan-African operators (~9x). Low multiple partly reflects Ethiopia loss drag - which is temporary.</t>
  </si>
  <si>
    <t>PEG Ratio</t>
  </si>
  <si>
    <t>0.83x</t>
  </si>
  <si>
    <t>Below 1.0x - classic undervaluation signal for a growth stock. Market not fully pricing long-term M-PESA + Ethiopia upside.</t>
  </si>
  <si>
    <t>Dividend Yield (TTM)</t>
  </si>
  <si>
    <t>DPS flat at KES 1.20 (payout ratio 69% vs 80% policy). Normalisation to 80% payout would lift yield to ~5.5%. Consistent income floor for long-term investors.</t>
  </si>
  <si>
    <t>GF Fair Value Estimate</t>
  </si>
  <si>
    <t>KES 21.42</t>
  </si>
  <si>
    <t>CAUTION</t>
  </si>
  <si>
    <t>Stock trades at ~38% premium to GF intrinsic value. CAUTION: near-term pullback possible if macro conditions deteriorate.</t>
  </si>
  <si>
    <t>Analyst Target Range</t>
  </si>
  <si>
    <t>KES 24.72 - 44</t>
  </si>
  <si>
    <t>Consensus leans BUY. Midpoint of ~KES 34 implies ~14% upside. Bull case of KES 44 (+48%) requires Ethiopia inflection.</t>
  </si>
  <si>
    <t>Revenue Trend</t>
  </si>
  <si>
    <t xml:space="preserve"> 5-yr uptrend</t>
  </si>
  <si>
    <t>Revenue growing:  Every single year from FY2021-FY2025. No year of decline. CAGR ~12-13%. Strong positive signal.</t>
  </si>
  <si>
    <t>Profit Stability</t>
  </si>
  <si>
    <t>Volatile (FY24 dip)</t>
  </si>
  <si>
    <t>Profit volatile due to Ethiopia FX losses - not operational weakness. Excluding FX, Kenya PAT grew every year. Monitor Ethiopia FX exposure closely.</t>
  </si>
  <si>
    <t xml:space="preserve">  SECTION 6 · FINAL INVESTMENT RECOMMENDATION</t>
  </si>
  <si>
    <t>⭐  RECOMMENDATION:   B U Y</t>
  </si>
  <si>
    <t>Current Price: KES 29.70   |   12-Month Price Target: KES 36 - 40   |   Implied Upside: ~21 - 35%</t>
  </si>
  <si>
    <t>PILLAR 1 - M-PESA Structural Compounding</t>
  </si>
  <si>
    <t>M-PESA is no longer just a peer-to-peer transfer tool. Business payments grew 27.4% YoY; credit services (Fuliza), insurance and wealth products are scaling fast. With 1- month active M - PESA users growing 10.5% and merchant ecosystem deepening, the platform monetisation curve is still in early innings. Revenue + profit growing consistently = STRONG POSITIVE SIGNAL.</t>
  </si>
  <si>
    <t>PILLAR 2 - Ethiopia: A Free Option on a Giant Market</t>
  </si>
  <si>
    <t>At current group valuation, the Ethiopia business is effectively priced near zero. 8.8 million active customers. 35% YoY revenue growth. A 120-million-person market. Management targets EBITDA positivity by FY2027. If Ethiopia reaches breakeven, it adds ~KES 3-5 of incremental value per share. If growth is slowing * CAUTION flag. Currently, growth is accelerating * POSITIVE.</t>
  </si>
  <si>
    <t>PILLAR 3 - Capital Returns With Upside</t>
  </si>
  <si>
    <t>Dividend yield of 4.2% with a stated 80% payout policy (current: 69%). As Ethiopia losses narrow, the Board has room to restore full payout = ~5.5% yield. FCF of KES 76.9bn comfortably covers dividends. Perception: 'just a telco with slowing growth.' Reality: A fintech platform compounding at 12-15%. This perception-reality gap = the investment opportunity.</t>
  </si>
  <si>
    <t>⚠️  CONDITIONS TO REVIEW RATING</t>
  </si>
  <si>
    <t>Downgrade to HOLD if: (1) Ethiopia FX losses worsen beyond KES 25bn in FY2026, (2) M-PESA business payment growth decelerates below 15%, (3) CA Kenya imposes forced M-PESA interoperability pricing, (4) Stock re-rates above KES 40 without corresponding earnings delivery. The thesis is fundamentally strong - but valuation discipline matters at &gt;KES 40.</t>
  </si>
  <si>
    <t>Disclaimer: This spreadsheet is for educational and informational purposes only. It does not constitute investment advice. All data sourced from Safaricom PLC FY2025 Annual Results. Past performance is not indicative of future results.</t>
  </si>
  <si>
    <t>SAFARICOM - 5-YEAR TREND SUMMARY</t>
  </si>
  <si>
    <t>Year</t>
  </si>
  <si>
    <t>Revenue (KES bn)</t>
  </si>
  <si>
    <t>Net Profit (KES bn)</t>
  </si>
  <si>
    <t>Revenue Growth %</t>
  </si>
  <si>
    <t>Profit Growth %</t>
  </si>
  <si>
    <t>EBIT Margin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</si>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</sst>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
    <numFmt numFmtId="165" formatCode="0.0%;\(0.0%\);\-"/>
    <numFmt numFmtId="166" formatCode="#,##0.0"/>
    <numFmt numFmtId="167" formatCode="0.0%"/>
  </numFmts>
  <fonts count="27" x14ac:knownFonts="1">
    <font>
      <sz val="11"/>
      <color theme="1"/>
      <name val="Calibri"/>
      <family val="2"/>
      <scheme val="minor"/>
    </font>
    <font>
      <b/>
      <sz val="16"/>
      <color rgb="FFFFFFFF"/>
      <name val="Times New Roman"/>
      <family val="1"/>
    </font>
    <font>
      <sz val="11"/>
      <color theme="1"/>
      <name val="Times New Roman"/>
      <family val="1"/>
    </font>
    <font>
      <i/>
      <sz val="9"/>
      <color rgb="FFFFFFFF"/>
      <name val="Times New Roman"/>
      <family val="1"/>
    </font>
    <font>
      <b/>
      <sz val="13"/>
      <color rgb="FFFFFFFF"/>
      <name val="Times New Roman"/>
      <family val="1"/>
    </font>
    <font>
      <b/>
      <sz val="10"/>
      <color rgb="FFFFFFFF"/>
      <name val="Times New Roman"/>
      <family val="1"/>
    </font>
    <font>
      <b/>
      <sz val="10"/>
      <color rgb="FF1A1A1A"/>
      <name val="Times New Roman"/>
      <family val="1"/>
    </font>
    <font>
      <sz val="10"/>
      <color rgb="FF0000FF"/>
      <name val="Times New Roman"/>
      <family val="1"/>
    </font>
    <font>
      <sz val="10"/>
      <color rgb="FF1A1A1A"/>
      <name val="Times New Roman"/>
      <family val="1"/>
    </font>
    <font>
      <b/>
      <sz val="10"/>
      <color rgb="FF0F7B3E"/>
      <name val="Times New Roman"/>
      <family val="1"/>
    </font>
    <font>
      <b/>
      <sz val="10"/>
      <color rgb="FFCC0000"/>
      <name val="Times New Roman"/>
      <family val="1"/>
    </font>
    <font>
      <sz val="9"/>
      <color rgb="FF1A1A1A"/>
      <name val="Times New Roman"/>
      <family val="1"/>
    </font>
    <font>
      <b/>
      <sz val="9"/>
      <color rgb="FF1A1A1A"/>
      <name val="Times New Roman"/>
      <family val="1"/>
    </font>
    <font>
      <sz val="10"/>
      <color rgb="FFCC0000"/>
      <name val="Times New Roman"/>
      <family val="1"/>
    </font>
    <font>
      <b/>
      <sz val="10"/>
      <color rgb="FF0000FF"/>
      <name val="Times New Roman"/>
      <family val="1"/>
    </font>
    <font>
      <b/>
      <sz val="10"/>
      <color rgb="FF1A3C5E"/>
      <name val="Times New Roman"/>
      <family val="1"/>
    </font>
    <font>
      <b/>
      <sz val="10"/>
      <color rgb="FF1B5E20"/>
      <name val="Times New Roman"/>
      <family val="1"/>
    </font>
    <font>
      <b/>
      <sz val="10"/>
      <color rgb="FFE65100"/>
      <name val="Times New Roman"/>
      <family val="1"/>
    </font>
    <font>
      <b/>
      <sz val="18"/>
      <color rgb="FFFFFFFF"/>
      <name val="Times New Roman"/>
      <family val="1"/>
    </font>
    <font>
      <b/>
      <sz val="11"/>
      <color rgb="FF1A3C5E"/>
      <name val="Times New Roman"/>
      <family val="1"/>
    </font>
    <font>
      <b/>
      <sz val="11"/>
      <color rgb="FFE65100"/>
      <name val="Times New Roman"/>
      <family val="1"/>
    </font>
    <font>
      <i/>
      <sz val="8"/>
      <color rgb="FF555555"/>
      <name val="Times New Roman"/>
      <family val="1"/>
    </font>
    <font>
      <b/>
      <sz val="14"/>
      <color rgb="FFFFFFFF"/>
      <name val="Arial"/>
      <family val="2"/>
    </font>
    <font>
      <b/>
      <sz val="10"/>
      <color rgb="FFFFFFFF"/>
      <name val="Arial"/>
      <family val="2"/>
    </font>
    <font>
      <b/>
      <sz val="10"/>
      <color rgb="FF1A1A1A"/>
      <name val="Arial"/>
      <family val="2"/>
    </font>
    <font>
      <sz val="10"/>
      <color rgb="FF0000FF"/>
      <name val="Arial"/>
      <family val="2"/>
    </font>
    <font>
      <sz val="10"/>
      <color rgb="FF1A1A1A"/>
      <name val="Arial"/>
      <family val="2"/>
    </font>
  </fonts>
  <fills count="15">
    <fill>
      <patternFill patternType="none"/>
    </fill>
    <fill>
      <patternFill patternType="gray125"/>
    </fill>
    <fill>
      <patternFill patternType="solid">
        <fgColor rgb="FF1A3C5E"/>
        <bgColor rgb="FF333399"/>
      </patternFill>
    </fill>
    <fill>
      <patternFill patternType="solid">
        <fgColor rgb="FF0F7B3E"/>
        <bgColor rgb="FF008080"/>
      </patternFill>
    </fill>
    <fill>
      <patternFill patternType="solid">
        <fgColor rgb="FFEBF2FA"/>
        <bgColor rgb="FFF2F2F2"/>
      </patternFill>
    </fill>
    <fill>
      <patternFill patternType="solid">
        <fgColor rgb="FFFFFFFF"/>
        <bgColor rgb="FFFFF8F8"/>
      </patternFill>
    </fill>
    <fill>
      <patternFill patternType="solid">
        <fgColor rgb="FF1E5C8E"/>
        <bgColor rgb="FF1A3C5E"/>
      </patternFill>
    </fill>
    <fill>
      <patternFill patternType="solid">
        <fgColor rgb="FFE8F5ED"/>
        <bgColor rgb="FFEBF2FA"/>
      </patternFill>
    </fill>
    <fill>
      <patternFill patternType="solid">
        <fgColor rgb="FFFFCDD2"/>
        <bgColor rgb="FFCCCCCC"/>
      </patternFill>
    </fill>
    <fill>
      <patternFill patternType="solid">
        <fgColor rgb="FFFFF9C4"/>
        <bgColor rgb="FFFFF8E1"/>
      </patternFill>
    </fill>
    <fill>
      <patternFill patternType="solid">
        <fgColor rgb="FFFFF8F8"/>
        <bgColor rgb="FFFFFFFF"/>
      </patternFill>
    </fill>
    <fill>
      <patternFill patternType="solid">
        <fgColor rgb="FFC8E6C9"/>
        <bgColor rgb="FFCCCCCC"/>
      </patternFill>
    </fill>
    <fill>
      <patternFill patternType="solid">
        <fgColor rgb="FFFFE082"/>
        <bgColor rgb="FFFFF9C4"/>
      </patternFill>
    </fill>
    <fill>
      <patternFill patternType="solid">
        <fgColor rgb="FFFFF8E1"/>
        <bgColor rgb="FFFFF8F8"/>
      </patternFill>
    </fill>
    <fill>
      <patternFill patternType="solid">
        <fgColor rgb="FFF2F2F2"/>
        <bgColor rgb="FFEBF2FA"/>
      </patternFill>
    </fill>
  </fills>
  <borders count="3">
    <border>
      <left/>
      <right/>
      <top/>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4">
    <xf numFmtId="0" fontId="0" fillId="0" borderId="0" xfId="0"/>
    <xf numFmtId="0" fontId="2" fillId="0" borderId="0" xfId="0" applyFont="1"/>
    <xf numFmtId="0" fontId="5" fillId="2"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4" borderId="2" xfId="0" applyFont="1" applyFill="1" applyBorder="1" applyAlignment="1">
      <alignment horizontal="left" vertical="center"/>
    </xf>
    <xf numFmtId="164" fontId="7" fillId="4" borderId="2" xfId="0" applyNumberFormat="1" applyFont="1" applyFill="1" applyBorder="1" applyAlignment="1">
      <alignment horizontal="center" vertical="center"/>
    </xf>
    <xf numFmtId="0" fontId="6" fillId="5" borderId="2" xfId="0" applyFont="1" applyFill="1" applyBorder="1" applyAlignment="1">
      <alignment horizontal="left" vertical="center"/>
    </xf>
    <xf numFmtId="164" fontId="7" fillId="5" borderId="2" xfId="0" applyNumberFormat="1" applyFont="1" applyFill="1" applyBorder="1" applyAlignment="1">
      <alignment horizontal="center" vertical="center"/>
    </xf>
    <xf numFmtId="0" fontId="5" fillId="6" borderId="2" xfId="0" applyFont="1" applyFill="1" applyBorder="1" applyAlignment="1">
      <alignment horizontal="center" vertical="center"/>
    </xf>
    <xf numFmtId="0" fontId="6" fillId="7" borderId="2" xfId="0" applyFont="1" applyFill="1" applyBorder="1" applyAlignment="1">
      <alignment horizontal="left" vertical="center"/>
    </xf>
    <xf numFmtId="165" fontId="8" fillId="7" borderId="2" xfId="0" applyNumberFormat="1" applyFont="1" applyFill="1" applyBorder="1" applyAlignment="1">
      <alignment horizontal="center" vertical="center"/>
    </xf>
    <xf numFmtId="165" fontId="9" fillId="7" borderId="2" xfId="0" applyNumberFormat="1" applyFont="1" applyFill="1" applyBorder="1" applyAlignment="1">
      <alignment horizontal="center" vertical="center"/>
    </xf>
    <xf numFmtId="165" fontId="8" fillId="5" borderId="2" xfId="0" applyNumberFormat="1" applyFont="1" applyFill="1" applyBorder="1" applyAlignment="1">
      <alignment horizontal="center" vertical="center"/>
    </xf>
    <xf numFmtId="0" fontId="5" fillId="2" borderId="2" xfId="0" applyFont="1" applyFill="1" applyBorder="1" applyAlignment="1">
      <alignment horizontal="left" vertical="center"/>
    </xf>
    <xf numFmtId="0" fontId="6" fillId="5" borderId="2" xfId="0" applyFont="1" applyFill="1" applyBorder="1" applyAlignment="1">
      <alignment horizontal="left" vertical="center" wrapText="1"/>
    </xf>
    <xf numFmtId="0" fontId="6" fillId="4" borderId="2" xfId="0" applyFont="1" applyFill="1" applyBorder="1" applyAlignment="1">
      <alignment horizontal="left" vertical="center" wrapText="1"/>
    </xf>
    <xf numFmtId="0" fontId="10" fillId="8" borderId="2" xfId="0" applyFont="1" applyFill="1" applyBorder="1" applyAlignment="1">
      <alignment horizontal="center" vertical="center"/>
    </xf>
    <xf numFmtId="0" fontId="8" fillId="9" borderId="2" xfId="0" applyFont="1" applyFill="1" applyBorder="1" applyAlignment="1">
      <alignment horizontal="center" vertical="center"/>
    </xf>
    <xf numFmtId="0" fontId="6" fillId="10" borderId="2" xfId="0" applyFont="1" applyFill="1" applyBorder="1" applyAlignment="1">
      <alignment horizontal="left" vertical="center" wrapText="1"/>
    </xf>
    <xf numFmtId="0" fontId="6" fillId="9" borderId="2" xfId="0" applyFont="1" applyFill="1" applyBorder="1" applyAlignment="1">
      <alignment horizontal="center" vertical="center"/>
    </xf>
    <xf numFmtId="0" fontId="13" fillId="8" borderId="2" xfId="0" applyFont="1" applyFill="1" applyBorder="1" applyAlignment="1">
      <alignment horizontal="center" vertical="center"/>
    </xf>
    <xf numFmtId="0" fontId="8" fillId="11" borderId="2" xfId="0" applyFont="1" applyFill="1" applyBorder="1" applyAlignment="1">
      <alignment horizontal="center" vertical="center"/>
    </xf>
    <xf numFmtId="0" fontId="14" fillId="5" borderId="2" xfId="0" applyFont="1" applyFill="1" applyBorder="1" applyAlignment="1">
      <alignment horizontal="center" vertical="center"/>
    </xf>
    <xf numFmtId="0" fontId="14" fillId="4" borderId="2" xfId="0" applyFont="1" applyFill="1" applyBorder="1" applyAlignment="1">
      <alignment horizontal="center" vertical="center"/>
    </xf>
    <xf numFmtId="10" fontId="14" fillId="5" borderId="2" xfId="0" applyNumberFormat="1" applyFont="1" applyFill="1" applyBorder="1" applyAlignment="1">
      <alignment horizontal="center" vertical="center"/>
    </xf>
    <xf numFmtId="0" fontId="23" fillId="3" borderId="2" xfId="0" applyFont="1" applyFill="1" applyBorder="1" applyAlignment="1">
      <alignment horizontal="center" vertical="center"/>
    </xf>
    <xf numFmtId="0" fontId="24" fillId="4" borderId="2" xfId="0" applyFont="1" applyFill="1" applyBorder="1" applyAlignment="1">
      <alignment horizontal="center" vertical="center"/>
    </xf>
    <xf numFmtId="166" fontId="25" fillId="4" borderId="2" xfId="0" applyNumberFormat="1" applyFont="1" applyFill="1" applyBorder="1" applyAlignment="1">
      <alignment horizontal="center" vertical="center"/>
    </xf>
    <xf numFmtId="0" fontId="26" fillId="4" borderId="2" xfId="0" applyFont="1" applyFill="1" applyBorder="1" applyAlignment="1">
      <alignment horizontal="center" vertical="center"/>
    </xf>
    <xf numFmtId="167" fontId="26" fillId="4" borderId="2" xfId="0" applyNumberFormat="1" applyFont="1" applyFill="1" applyBorder="1" applyAlignment="1">
      <alignment horizontal="center" vertical="center"/>
    </xf>
    <xf numFmtId="0" fontId="24" fillId="5" borderId="2" xfId="0" applyFont="1" applyFill="1" applyBorder="1" applyAlignment="1">
      <alignment horizontal="center" vertical="center"/>
    </xf>
    <xf numFmtId="166" fontId="25" fillId="5" borderId="2" xfId="0" applyNumberFormat="1" applyFont="1" applyFill="1" applyBorder="1" applyAlignment="1">
      <alignment horizontal="center" vertical="center"/>
    </xf>
    <xf numFmtId="167" fontId="26" fillId="5" borderId="2" xfId="0" applyNumberFormat="1" applyFont="1" applyFill="1" applyBorder="1" applyAlignment="1">
      <alignment horizontal="center" vertical="center"/>
    </xf>
    <xf numFmtId="0" fontId="8" fillId="7" borderId="1" xfId="0" applyFont="1" applyFill="1" applyBorder="1" applyAlignment="1">
      <alignment horizontal="left" vertical="center" wrapText="1" indent="1"/>
    </xf>
    <xf numFmtId="0" fontId="20" fillId="12" borderId="1" xfId="0" applyFont="1" applyFill="1" applyBorder="1" applyAlignment="1">
      <alignment horizontal="left" vertical="center" indent="1"/>
    </xf>
    <xf numFmtId="0" fontId="8" fillId="13" borderId="1" xfId="0" applyFont="1" applyFill="1" applyBorder="1" applyAlignment="1">
      <alignment horizontal="left" vertical="center" wrapText="1" indent="1"/>
    </xf>
    <xf numFmtId="0" fontId="21" fillId="14" borderId="1" xfId="0" applyFont="1" applyFill="1" applyBorder="1" applyAlignment="1">
      <alignment horizontal="center" vertical="center" wrapText="1"/>
    </xf>
    <xf numFmtId="0" fontId="19" fillId="7" borderId="0" xfId="0" applyFont="1" applyFill="1" applyBorder="1" applyAlignment="1">
      <alignment horizontal="center" vertical="center"/>
    </xf>
    <xf numFmtId="0" fontId="19" fillId="3" borderId="1" xfId="0" applyFont="1" applyFill="1" applyBorder="1" applyAlignment="1">
      <alignment horizontal="left" vertical="center" indent="1"/>
    </xf>
    <xf numFmtId="0" fontId="16" fillId="11" borderId="1" xfId="0" applyFont="1" applyFill="1" applyBorder="1" applyAlignment="1">
      <alignment horizontal="center" vertical="center"/>
    </xf>
    <xf numFmtId="0" fontId="11" fillId="4" borderId="1" xfId="0" applyFont="1" applyFill="1" applyBorder="1" applyAlignment="1">
      <alignment horizontal="left" vertical="center" wrapText="1" indent="1"/>
    </xf>
    <xf numFmtId="0" fontId="17" fillId="9" borderId="1" xfId="0" applyFont="1" applyFill="1" applyBorder="1" applyAlignment="1">
      <alignment horizontal="center" vertical="center"/>
    </xf>
    <xf numFmtId="0" fontId="11" fillId="5" borderId="1" xfId="0" applyFont="1" applyFill="1" applyBorder="1" applyAlignment="1">
      <alignment horizontal="left" vertical="center" wrapText="1" indent="1"/>
    </xf>
    <xf numFmtId="0" fontId="4" fillId="2" borderId="1" xfId="0" applyFont="1" applyFill="1" applyBorder="1" applyAlignment="1">
      <alignment horizontal="left" vertical="center" indent="1"/>
    </xf>
    <xf numFmtId="0" fontId="18" fillId="3" borderId="0" xfId="0" applyFont="1" applyFill="1" applyBorder="1" applyAlignment="1">
      <alignment horizontal="center" vertical="center"/>
    </xf>
    <xf numFmtId="0" fontId="15" fillId="4" borderId="1" xfId="0" applyFont="1" applyFill="1" applyBorder="1" applyAlignment="1">
      <alignment horizontal="center" vertical="center"/>
    </xf>
    <xf numFmtId="0" fontId="11" fillId="10" borderId="1" xfId="0" applyFont="1" applyFill="1" applyBorder="1" applyAlignment="1">
      <alignment horizontal="left" vertical="center" wrapText="1" indent="1"/>
    </xf>
    <xf numFmtId="0" fontId="5" fillId="2" borderId="1" xfId="0" applyFont="1" applyFill="1" applyBorder="1" applyAlignment="1">
      <alignment horizontal="center" vertical="center"/>
    </xf>
    <xf numFmtId="0" fontId="5" fillId="2" borderId="1" xfId="0" applyFont="1" applyFill="1" applyBorder="1" applyAlignment="1">
      <alignment horizontal="left" vertical="center"/>
    </xf>
    <xf numFmtId="0" fontId="8" fillId="5" borderId="1" xfId="0" applyFont="1" applyFill="1" applyBorder="1" applyAlignment="1">
      <alignment horizontal="left" vertical="center" wrapText="1" indent="1"/>
    </xf>
    <xf numFmtId="0" fontId="8" fillId="4" borderId="1" xfId="0" applyFont="1" applyFill="1" applyBorder="1" applyAlignment="1">
      <alignment horizontal="left" vertical="center" wrapText="1" indent="1"/>
    </xf>
    <xf numFmtId="0" fontId="1" fillId="2" borderId="0" xfId="0" applyFont="1" applyFill="1" applyBorder="1" applyAlignment="1">
      <alignment horizontal="center" vertical="center"/>
    </xf>
    <xf numFmtId="0" fontId="3" fillId="3" borderId="0" xfId="0" applyFont="1" applyFill="1" applyBorder="1" applyAlignment="1">
      <alignment horizontal="center" vertical="center"/>
    </xf>
    <xf numFmtId="0" fontId="22" fillId="2" borderId="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&amp; Profit trend over 5 years.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'[1]Trend Summary'!$F$2</c:f>
              <c:strCache>
                <c:ptCount val="1"/>
                <c:pt idx="0">
                  <c:v>Revenue (KES bn)</c:v>
                </c:pt>
              </c:strCache>
            </c:strRef>
          </c:tx>
          <c:spPr>
            <a:ln w="28575" cap="rnd">
              <a:solidFill>
                <a:schemeClr val="accent1"/>
              </a:solidFill>
              <a:round/>
            </a:ln>
            <a:effectLst/>
          </c:spPr>
          <c:marker>
            <c:symbol val="none"/>
          </c:marker>
          <c:val>
            <c:numRef>
              <c:f>'[1]Trend Summary'!$F$3:$F$7</c:f>
              <c:numCache>
                <c:formatCode>General</c:formatCode>
                <c:ptCount val="5"/>
                <c:pt idx="0">
                  <c:v>245</c:v>
                </c:pt>
                <c:pt idx="1">
                  <c:v>265.5</c:v>
                </c:pt>
                <c:pt idx="2">
                  <c:v>310</c:v>
                </c:pt>
                <c:pt idx="3">
                  <c:v>345.9</c:v>
                </c:pt>
                <c:pt idx="4">
                  <c:v>388.7</c:v>
                </c:pt>
              </c:numCache>
            </c:numRef>
          </c:val>
          <c:smooth val="0"/>
          <c:extLst>
            <c:ext xmlns:c16="http://schemas.microsoft.com/office/drawing/2014/chart" uri="{C3380CC4-5D6E-409C-BE32-E72D297353CC}">
              <c16:uniqueId val="{00000000-5E39-4B66-99B5-409263664645}"/>
            </c:ext>
          </c:extLst>
        </c:ser>
        <c:ser>
          <c:idx val="1"/>
          <c:order val="1"/>
          <c:tx>
            <c:strRef>
              <c:f>'[1]Trend Summary'!$G$2</c:f>
              <c:strCache>
                <c:ptCount val="1"/>
                <c:pt idx="0">
                  <c:v>Net Profit (KES bn)</c:v>
                </c:pt>
              </c:strCache>
            </c:strRef>
          </c:tx>
          <c:spPr>
            <a:ln w="28575" cap="rnd">
              <a:solidFill>
                <a:schemeClr val="accent2"/>
              </a:solidFill>
              <a:round/>
            </a:ln>
            <a:effectLst/>
          </c:spPr>
          <c:marker>
            <c:symbol val="none"/>
          </c:marker>
          <c:val>
            <c:numRef>
              <c:f>'[1]Trend Summary'!$G$3:$G$7</c:f>
              <c:numCache>
                <c:formatCode>General</c:formatCode>
                <c:ptCount val="5"/>
                <c:pt idx="0">
                  <c:v>55</c:v>
                </c:pt>
                <c:pt idx="1">
                  <c:v>57</c:v>
                </c:pt>
                <c:pt idx="2">
                  <c:v>67.599999999999994</c:v>
                </c:pt>
                <c:pt idx="3">
                  <c:v>63</c:v>
                </c:pt>
                <c:pt idx="4">
                  <c:v>69.8</c:v>
                </c:pt>
              </c:numCache>
            </c:numRef>
          </c:val>
          <c:smooth val="0"/>
          <c:extLst>
            <c:ext xmlns:c16="http://schemas.microsoft.com/office/drawing/2014/chart" uri="{C3380CC4-5D6E-409C-BE32-E72D297353CC}">
              <c16:uniqueId val="{00000001-5E39-4B66-99B5-409263664645}"/>
            </c:ext>
          </c:extLst>
        </c:ser>
        <c:dLbls>
          <c:showLegendKey val="0"/>
          <c:showVal val="0"/>
          <c:showCatName val="0"/>
          <c:showSerName val="0"/>
          <c:showPercent val="0"/>
          <c:showBubbleSize val="0"/>
        </c:dLbls>
        <c:smooth val="0"/>
        <c:axId val="429040655"/>
        <c:axId val="429038575"/>
      </c:lineChart>
      <c:catAx>
        <c:axId val="4290406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038575"/>
        <c:crosses val="autoZero"/>
        <c:auto val="1"/>
        <c:lblAlgn val="ctr"/>
        <c:lblOffset val="100"/>
        <c:noMultiLvlLbl val="0"/>
      </c:catAx>
      <c:valAx>
        <c:axId val="429038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040655"/>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Growth</a:t>
            </a:r>
            <a:r>
              <a:rPr lang="en-US" baseline="0"/>
              <a:t> Rate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'[1]Trend Summary'!$H$2:$H$3</c:f>
              <c:strCache>
                <c:ptCount val="1"/>
                <c:pt idx="0">
                  <c:v>Revenue Growth % -</c:v>
                </c:pt>
              </c:strCache>
            </c:strRef>
          </c:tx>
          <c:spPr>
            <a:solidFill>
              <a:schemeClr val="accent1"/>
            </a:solidFill>
            <a:ln>
              <a:noFill/>
            </a:ln>
            <a:effectLst/>
          </c:spPr>
          <c:invertIfNegative val="0"/>
          <c:val>
            <c:numRef>
              <c:f>'[1]Trend Summary'!$H$4:$H$7</c:f>
              <c:numCache>
                <c:formatCode>General</c:formatCode>
                <c:ptCount val="4"/>
                <c:pt idx="0">
                  <c:v>8.3673469387755106E-2</c:v>
                </c:pt>
                <c:pt idx="1">
                  <c:v>0.16760828625235405</c:v>
                </c:pt>
                <c:pt idx="2">
                  <c:v>0.11580645161290315</c:v>
                </c:pt>
                <c:pt idx="3">
                  <c:v>0.12373518357906914</c:v>
                </c:pt>
              </c:numCache>
            </c:numRef>
          </c:val>
          <c:extLst>
            <c:ext xmlns:c16="http://schemas.microsoft.com/office/drawing/2014/chart" uri="{C3380CC4-5D6E-409C-BE32-E72D297353CC}">
              <c16:uniqueId val="{00000000-204F-4CE7-9D85-FE975756484F}"/>
            </c:ext>
          </c:extLst>
        </c:ser>
        <c:ser>
          <c:idx val="1"/>
          <c:order val="1"/>
          <c:tx>
            <c:strRef>
              <c:f>'[1]Trend Summary'!$I$2:$I$3</c:f>
              <c:strCache>
                <c:ptCount val="1"/>
                <c:pt idx="0">
                  <c:v>Profit Growth % -</c:v>
                </c:pt>
              </c:strCache>
            </c:strRef>
          </c:tx>
          <c:spPr>
            <a:solidFill>
              <a:schemeClr val="accent2"/>
            </a:solidFill>
            <a:ln>
              <a:noFill/>
            </a:ln>
            <a:effectLst/>
          </c:spPr>
          <c:invertIfNegative val="0"/>
          <c:val>
            <c:numRef>
              <c:f>'[1]Trend Summary'!$I$4:$I$7</c:f>
              <c:numCache>
                <c:formatCode>General</c:formatCode>
                <c:ptCount val="4"/>
                <c:pt idx="0">
                  <c:v>3.6363636363636362E-2</c:v>
                </c:pt>
                <c:pt idx="1">
                  <c:v>0.18596491228070167</c:v>
                </c:pt>
                <c:pt idx="2">
                  <c:v>-6.8047337278106426E-2</c:v>
                </c:pt>
                <c:pt idx="3">
                  <c:v>0.10793650793650789</c:v>
                </c:pt>
              </c:numCache>
            </c:numRef>
          </c:val>
          <c:extLst>
            <c:ext xmlns:c16="http://schemas.microsoft.com/office/drawing/2014/chart" uri="{C3380CC4-5D6E-409C-BE32-E72D297353CC}">
              <c16:uniqueId val="{00000001-204F-4CE7-9D85-FE975756484F}"/>
            </c:ext>
          </c:extLst>
        </c:ser>
        <c:dLbls>
          <c:showLegendKey val="0"/>
          <c:showVal val="0"/>
          <c:showCatName val="0"/>
          <c:showSerName val="0"/>
          <c:showPercent val="0"/>
          <c:showBubbleSize val="0"/>
        </c:dLbls>
        <c:gapWidth val="219"/>
        <c:overlap val="-27"/>
        <c:axId val="429044399"/>
        <c:axId val="429046479"/>
      </c:barChart>
      <c:catAx>
        <c:axId val="42904439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046479"/>
        <c:crosses val="autoZero"/>
        <c:auto val="1"/>
        <c:lblAlgn val="ctr"/>
        <c:lblOffset val="100"/>
        <c:noMultiLvlLbl val="0"/>
      </c:catAx>
      <c:valAx>
        <c:axId val="429046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044399"/>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22225</xdr:colOff>
      <xdr:row>7</xdr:row>
      <xdr:rowOff>152400</xdr:rowOff>
    </xdr:from>
    <xdr:to>
      <xdr:col>14</xdr:col>
      <xdr:colOff>225425</xdr:colOff>
      <xdr:row>22</xdr:row>
      <xdr:rowOff>133350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498475</xdr:colOff>
      <xdr:row>7</xdr:row>
      <xdr:rowOff>149225</xdr:rowOff>
    </xdr:from>
    <xdr:to>
      <xdr:col>7</xdr:col>
      <xdr:colOff>28575</xdr:colOff>
      <xdr:row>22</xdr:row>
      <xdr:rowOff>130175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Safaricom_Financial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 Analysis"/>
      <sheetName val="Trend Summary"/>
    </sheetNames>
    <sheetDataSet>
      <sheetData sheetId="0"/>
      <sheetData sheetId="1">
        <row r="2">
          <cell r="F2" t="str">
            <v>Revenue (KES bn)</v>
          </cell>
          <cell r="G2" t="str">
            <v>Net Profit (KES bn)</v>
          </cell>
          <cell r="H2" t="str">
            <v>Revenue Growth %</v>
          </cell>
          <cell r="I2" t="str">
            <v>Profit Growth %</v>
          </cell>
        </row>
        <row r="3">
          <cell r="F3">
            <v>245</v>
          </cell>
          <cell r="G3">
            <v>55</v>
          </cell>
          <cell r="H3" t="str">
            <v>-</v>
          </cell>
          <cell r="I3" t="str">
            <v>-</v>
          </cell>
        </row>
        <row r="4">
          <cell r="F4">
            <v>265.5</v>
          </cell>
          <cell r="G4">
            <v>57</v>
          </cell>
          <cell r="H4">
            <v>8.3673469387755106E-2</v>
          </cell>
          <cell r="I4">
            <v>3.6363636363636362E-2</v>
          </cell>
        </row>
        <row r="5">
          <cell r="F5">
            <v>310</v>
          </cell>
          <cell r="G5">
            <v>67.599999999999994</v>
          </cell>
          <cell r="H5">
            <v>0.16760828625235405</v>
          </cell>
          <cell r="I5">
            <v>0.18596491228070167</v>
          </cell>
        </row>
        <row r="6">
          <cell r="F6">
            <v>345.9</v>
          </cell>
          <cell r="G6">
            <v>63</v>
          </cell>
          <cell r="H6">
            <v>0.11580645161290315</v>
          </cell>
          <cell r="I6">
            <v>-6.8047337278106426E-2</v>
          </cell>
        </row>
        <row r="7">
          <cell r="F7">
            <v>388.7</v>
          </cell>
          <cell r="G7">
            <v>69.8</v>
          </cell>
          <cell r="H7">
            <v>0.12373518357906914</v>
          </cell>
          <cell r="I7">
            <v>0.10793650793650789</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6"/>
  <sheetViews>
    <sheetView workbookViewId="0">
      <selection sqref="A1:I1"/>
    </sheetView>
  </sheetViews>
  <sheetFormatPr defaultColWidth="8.6328125" defaultRowHeight="14" x14ac:dyDescent="0.3"/>
  <cols>
    <col min="1" max="1" width="26.453125" style="1" bestFit="1" customWidth="1"/>
    <col min="2" max="6" width="14" style="1" customWidth="1"/>
    <col min="7" max="7" width="3" style="1" customWidth="1"/>
    <col min="8" max="9" width="18" style="1" customWidth="1"/>
    <col min="10" max="16384" width="8.6328125" style="1"/>
  </cols>
  <sheetData>
    <row r="1" spans="1:9" ht="36" customHeight="1" x14ac:dyDescent="0.3">
      <c r="A1" s="51" t="s">
        <v>0</v>
      </c>
      <c r="B1" s="51"/>
      <c r="C1" s="51"/>
      <c r="D1" s="51"/>
      <c r="E1" s="51"/>
      <c r="F1" s="51"/>
      <c r="G1" s="51"/>
      <c r="H1" s="51"/>
      <c r="I1" s="51"/>
    </row>
    <row r="2" spans="1:9" x14ac:dyDescent="0.3">
      <c r="A2" s="52" t="s">
        <v>1</v>
      </c>
      <c r="B2" s="52"/>
      <c r="C2" s="52"/>
      <c r="D2" s="52"/>
      <c r="E2" s="52"/>
      <c r="F2" s="52"/>
      <c r="G2" s="52"/>
      <c r="H2" s="52"/>
      <c r="I2" s="52"/>
    </row>
    <row r="4" spans="1:9" ht="21.75" customHeight="1" x14ac:dyDescent="0.3">
      <c r="A4" s="43" t="s">
        <v>2</v>
      </c>
      <c r="B4" s="43"/>
      <c r="C4" s="43"/>
      <c r="D4" s="43"/>
      <c r="E4" s="43"/>
      <c r="F4" s="43"/>
      <c r="G4" s="43"/>
      <c r="H4" s="43"/>
      <c r="I4" s="43"/>
    </row>
    <row r="5" spans="1:9" ht="19.5" customHeight="1" x14ac:dyDescent="0.3">
      <c r="A5" s="2" t="s">
        <v>3</v>
      </c>
      <c r="B5" s="3" t="s">
        <v>4</v>
      </c>
      <c r="C5" s="3" t="s">
        <v>5</v>
      </c>
      <c r="D5" s="3" t="s">
        <v>6</v>
      </c>
      <c r="E5" s="3" t="s">
        <v>7</v>
      </c>
      <c r="F5" s="3" t="s">
        <v>8</v>
      </c>
    </row>
    <row r="6" spans="1:9" ht="16.5" customHeight="1" x14ac:dyDescent="0.3">
      <c r="A6" s="4" t="s">
        <v>9</v>
      </c>
      <c r="B6" s="5">
        <v>245</v>
      </c>
      <c r="C6" s="5">
        <v>265.5</v>
      </c>
      <c r="D6" s="5">
        <v>310</v>
      </c>
      <c r="E6" s="5">
        <v>345.9</v>
      </c>
      <c r="F6" s="5">
        <v>388.7</v>
      </c>
    </row>
    <row r="7" spans="1:9" ht="16.5" customHeight="1" x14ac:dyDescent="0.3">
      <c r="A7" s="6" t="s">
        <v>10</v>
      </c>
      <c r="B7" s="7">
        <v>83.7</v>
      </c>
      <c r="C7" s="7">
        <v>101.2</v>
      </c>
      <c r="D7" s="7">
        <v>118.5</v>
      </c>
      <c r="E7" s="7">
        <v>140</v>
      </c>
      <c r="F7" s="7">
        <v>161.1</v>
      </c>
    </row>
    <row r="8" spans="1:9" ht="16.5" customHeight="1" x14ac:dyDescent="0.3">
      <c r="A8" s="4" t="s">
        <v>11</v>
      </c>
      <c r="B8" s="5">
        <v>34.1</v>
      </c>
      <c r="C8" s="5">
        <v>41.3</v>
      </c>
      <c r="D8" s="5">
        <v>52.4</v>
      </c>
      <c r="E8" s="5">
        <v>67.2</v>
      </c>
      <c r="F8" s="5">
        <v>81.5</v>
      </c>
    </row>
    <row r="9" spans="1:9" ht="16.5" customHeight="1" x14ac:dyDescent="0.3">
      <c r="A9" s="6" t="s">
        <v>12</v>
      </c>
      <c r="B9" s="7">
        <v>78.400000000000006</v>
      </c>
      <c r="C9" s="7">
        <v>80.099999999999994</v>
      </c>
      <c r="D9" s="7">
        <v>85.3</v>
      </c>
      <c r="E9" s="7">
        <v>88</v>
      </c>
      <c r="F9" s="7">
        <v>91.2</v>
      </c>
    </row>
    <row r="10" spans="1:9" ht="16.5" customHeight="1" x14ac:dyDescent="0.3">
      <c r="A10" s="4" t="s">
        <v>13</v>
      </c>
      <c r="B10" s="5">
        <v>55</v>
      </c>
      <c r="C10" s="5">
        <v>57</v>
      </c>
      <c r="D10" s="5">
        <v>67.599999999999994</v>
      </c>
      <c r="E10" s="5">
        <v>63</v>
      </c>
      <c r="F10" s="5">
        <v>69.8</v>
      </c>
    </row>
    <row r="11" spans="1:9" ht="16.5" customHeight="1" x14ac:dyDescent="0.3">
      <c r="A11" s="6" t="s">
        <v>14</v>
      </c>
      <c r="B11" s="7">
        <v>68</v>
      </c>
      <c r="C11" s="7">
        <v>70.5</v>
      </c>
      <c r="D11" s="7">
        <v>78.900000000000006</v>
      </c>
      <c r="E11" s="7">
        <v>80.5</v>
      </c>
      <c r="F11" s="7">
        <v>104.1</v>
      </c>
    </row>
    <row r="12" spans="1:9" ht="16.5" customHeight="1" x14ac:dyDescent="0.3">
      <c r="A12" s="4" t="s">
        <v>15</v>
      </c>
      <c r="B12" s="5">
        <v>100.5</v>
      </c>
      <c r="C12" s="5">
        <v>110.2</v>
      </c>
      <c r="D12" s="5">
        <v>120.8</v>
      </c>
      <c r="E12" s="5">
        <v>128.6</v>
      </c>
      <c r="F12" s="5">
        <v>148.9</v>
      </c>
    </row>
    <row r="13" spans="1:9" ht="16.5" customHeight="1" x14ac:dyDescent="0.3">
      <c r="A13" s="6" t="s">
        <v>16</v>
      </c>
      <c r="B13" s="7">
        <v>1.37</v>
      </c>
      <c r="C13" s="7">
        <v>1.42</v>
      </c>
      <c r="D13" s="7">
        <v>1.69</v>
      </c>
      <c r="E13" s="7">
        <v>1.57</v>
      </c>
      <c r="F13" s="7">
        <v>1.74</v>
      </c>
    </row>
    <row r="14" spans="1:9" ht="16.5" customHeight="1" x14ac:dyDescent="0.3">
      <c r="A14" s="4" t="s">
        <v>17</v>
      </c>
      <c r="B14" s="5">
        <v>1</v>
      </c>
      <c r="C14" s="5">
        <v>1</v>
      </c>
      <c r="D14" s="5">
        <v>1.1000000000000001</v>
      </c>
      <c r="E14" s="5">
        <v>1.2</v>
      </c>
      <c r="F14" s="5">
        <v>1.2</v>
      </c>
    </row>
    <row r="15" spans="1:9" ht="16.5" customHeight="1" x14ac:dyDescent="0.3">
      <c r="A15" s="6" t="s">
        <v>18</v>
      </c>
      <c r="B15" s="7">
        <v>27.8</v>
      </c>
      <c r="C15" s="7">
        <v>29.9</v>
      </c>
      <c r="D15" s="7">
        <v>32.4</v>
      </c>
      <c r="E15" s="7">
        <v>34.700000000000003</v>
      </c>
      <c r="F15" s="7">
        <v>37.1</v>
      </c>
    </row>
    <row r="16" spans="1:9" ht="7.5" customHeight="1" x14ac:dyDescent="0.3"/>
    <row r="17" spans="1:9" ht="24" customHeight="1" x14ac:dyDescent="0.3">
      <c r="A17" s="43" t="s">
        <v>19</v>
      </c>
      <c r="B17" s="43"/>
      <c r="C17" s="43"/>
      <c r="D17" s="43"/>
      <c r="E17" s="43"/>
      <c r="F17" s="43"/>
      <c r="G17" s="43"/>
      <c r="H17" s="43"/>
      <c r="I17" s="43"/>
    </row>
    <row r="18" spans="1:9" ht="19.5" customHeight="1" x14ac:dyDescent="0.3">
      <c r="A18" s="2" t="s">
        <v>3</v>
      </c>
      <c r="B18" s="8" t="s">
        <v>5</v>
      </c>
      <c r="C18" s="8" t="s">
        <v>6</v>
      </c>
      <c r="D18" s="8" t="s">
        <v>7</v>
      </c>
      <c r="E18" s="8" t="s">
        <v>8</v>
      </c>
      <c r="F18" s="8" t="s">
        <v>20</v>
      </c>
    </row>
    <row r="19" spans="1:9" ht="16.5" customHeight="1" x14ac:dyDescent="0.3">
      <c r="A19" s="9" t="s">
        <v>21</v>
      </c>
      <c r="B19" s="10">
        <f t="shared" ref="B19:E20" si="0">(C6-B6)/B6</f>
        <v>8.3673469387755106E-2</v>
      </c>
      <c r="C19" s="10">
        <f t="shared" si="0"/>
        <v>0.16760828625235405</v>
      </c>
      <c r="D19" s="10">
        <f t="shared" si="0"/>
        <v>0.11580645161290315</v>
      </c>
      <c r="E19" s="10">
        <f t="shared" si="0"/>
        <v>0.12373518357906914</v>
      </c>
      <c r="F19" s="11">
        <f>(F6/C6)^(1/3)-1</f>
        <v>0.13549006422382837</v>
      </c>
    </row>
    <row r="20" spans="1:9" ht="16.5" customHeight="1" x14ac:dyDescent="0.3">
      <c r="A20" s="6" t="s">
        <v>22</v>
      </c>
      <c r="B20" s="12">
        <f t="shared" si="0"/>
        <v>0.20908004778972519</v>
      </c>
      <c r="C20" s="12">
        <f t="shared" si="0"/>
        <v>0.17094861660079047</v>
      </c>
      <c r="D20" s="12">
        <f t="shared" si="0"/>
        <v>0.18143459915611815</v>
      </c>
      <c r="E20" s="12">
        <f t="shared" si="0"/>
        <v>0.15071428571428566</v>
      </c>
      <c r="F20" s="11">
        <f>(F7/C7)^(1/3)-1</f>
        <v>0.16762936680771068</v>
      </c>
    </row>
    <row r="21" spans="1:9" ht="16.5" customHeight="1" x14ac:dyDescent="0.3">
      <c r="A21" s="9" t="s">
        <v>23</v>
      </c>
      <c r="B21" s="10">
        <f t="shared" ref="B21:E22" si="1">(C10-B10)/B10</f>
        <v>3.6363636363636362E-2</v>
      </c>
      <c r="C21" s="10">
        <f t="shared" si="1"/>
        <v>0.18596491228070167</v>
      </c>
      <c r="D21" s="10">
        <f t="shared" si="1"/>
        <v>-6.8047337278106426E-2</v>
      </c>
      <c r="E21" s="10">
        <f t="shared" si="1"/>
        <v>0.10793650793650789</v>
      </c>
      <c r="F21" s="11">
        <f>(F10/C10)^(1/3)-1</f>
        <v>6.9859766612975438E-2</v>
      </c>
    </row>
    <row r="22" spans="1:9" ht="16.5" customHeight="1" x14ac:dyDescent="0.3">
      <c r="A22" s="6" t="s">
        <v>24</v>
      </c>
      <c r="B22" s="12">
        <f t="shared" si="1"/>
        <v>3.6764705882352942E-2</v>
      </c>
      <c r="C22" s="12">
        <f t="shared" si="1"/>
        <v>0.11914893617021284</v>
      </c>
      <c r="D22" s="12">
        <f t="shared" si="1"/>
        <v>2.0278833967046821E-2</v>
      </c>
      <c r="E22" s="12">
        <f t="shared" si="1"/>
        <v>0.29316770186335395</v>
      </c>
      <c r="F22" s="11">
        <f>(F11/C11)^(1/3)-1</f>
        <v>0.13872941045748988</v>
      </c>
    </row>
    <row r="23" spans="1:9" ht="16.5" customHeight="1" x14ac:dyDescent="0.3">
      <c r="A23" s="9" t="s">
        <v>25</v>
      </c>
      <c r="B23" s="10">
        <f>(C13-B13)/B13</f>
        <v>3.6496350364963369E-2</v>
      </c>
      <c r="C23" s="10">
        <f>(D13-C13)/C13</f>
        <v>0.19014084507042256</v>
      </c>
      <c r="D23" s="10">
        <f>(E13-D13)/D13</f>
        <v>-7.1005917159763246E-2</v>
      </c>
      <c r="E23" s="10">
        <f>(F13-E13)/E13</f>
        <v>0.10828025477707001</v>
      </c>
      <c r="F23" s="11">
        <f>(F13/C13)^(1/3)-1</f>
        <v>7.0089989425695665E-2</v>
      </c>
    </row>
    <row r="24" spans="1:9" ht="16.5" customHeight="1" x14ac:dyDescent="0.3">
      <c r="A24" s="6" t="s">
        <v>26</v>
      </c>
      <c r="B24" s="12">
        <f>(C15-B15)/B15</f>
        <v>7.553956834532366E-2</v>
      </c>
      <c r="C24" s="12">
        <f>(D15-C15)/C15</f>
        <v>8.3612040133779264E-2</v>
      </c>
      <c r="D24" s="12">
        <f>(E15-D15)/D15</f>
        <v>7.0987654320987789E-2</v>
      </c>
      <c r="E24" s="12">
        <f>(F15-E15)/E15</f>
        <v>6.9164265129682947E-2</v>
      </c>
      <c r="F24" s="11">
        <f>(F15/C15)^(1/3)-1</f>
        <v>7.4568833928092104E-2</v>
      </c>
    </row>
    <row r="25" spans="1:9" ht="7.5" customHeight="1" x14ac:dyDescent="0.3"/>
    <row r="26" spans="1:9" ht="24" customHeight="1" x14ac:dyDescent="0.3">
      <c r="A26" s="43" t="s">
        <v>27</v>
      </c>
      <c r="B26" s="43"/>
      <c r="C26" s="43"/>
      <c r="D26" s="43"/>
      <c r="E26" s="43"/>
      <c r="F26" s="43"/>
      <c r="G26" s="43"/>
      <c r="H26" s="43"/>
      <c r="I26" s="43"/>
    </row>
    <row r="27" spans="1:9" ht="18" customHeight="1" x14ac:dyDescent="0.3">
      <c r="A27" s="13" t="s">
        <v>28</v>
      </c>
      <c r="B27" s="48" t="s">
        <v>29</v>
      </c>
      <c r="C27" s="48"/>
      <c r="D27" s="48"/>
      <c r="E27" s="48"/>
      <c r="F27" s="48"/>
      <c r="G27" s="48"/>
      <c r="H27" s="48"/>
      <c r="I27" s="48"/>
    </row>
    <row r="28" spans="1:9" ht="51.75" customHeight="1" x14ac:dyDescent="0.3">
      <c r="A28" s="14" t="s">
        <v>30</v>
      </c>
      <c r="B28" s="49" t="s">
        <v>31</v>
      </c>
      <c r="C28" s="49"/>
      <c r="D28" s="49"/>
      <c r="E28" s="49"/>
      <c r="F28" s="49"/>
      <c r="G28" s="49"/>
      <c r="H28" s="49"/>
      <c r="I28" s="49"/>
    </row>
    <row r="29" spans="1:9" ht="51.75" customHeight="1" x14ac:dyDescent="0.3">
      <c r="A29" s="15" t="s">
        <v>32</v>
      </c>
      <c r="B29" s="50" t="s">
        <v>33</v>
      </c>
      <c r="C29" s="50"/>
      <c r="D29" s="50"/>
      <c r="E29" s="50"/>
      <c r="F29" s="50"/>
      <c r="G29" s="50"/>
      <c r="H29" s="50"/>
      <c r="I29" s="50"/>
    </row>
    <row r="30" spans="1:9" ht="51.75" customHeight="1" x14ac:dyDescent="0.3">
      <c r="A30" s="14" t="s">
        <v>34</v>
      </c>
      <c r="B30" s="49" t="s">
        <v>35</v>
      </c>
      <c r="C30" s="49"/>
      <c r="D30" s="49"/>
      <c r="E30" s="49"/>
      <c r="F30" s="49"/>
      <c r="G30" s="49"/>
      <c r="H30" s="49"/>
      <c r="I30" s="49"/>
    </row>
    <row r="31" spans="1:9" ht="51.75" customHeight="1" x14ac:dyDescent="0.3">
      <c r="A31" s="15" t="s">
        <v>36</v>
      </c>
      <c r="B31" s="50" t="s">
        <v>37</v>
      </c>
      <c r="C31" s="50"/>
      <c r="D31" s="50"/>
      <c r="E31" s="50"/>
      <c r="F31" s="50"/>
      <c r="G31" s="50"/>
      <c r="H31" s="50"/>
      <c r="I31" s="50"/>
    </row>
    <row r="32" spans="1:9" ht="51.75" customHeight="1" x14ac:dyDescent="0.3">
      <c r="A32" s="14" t="s">
        <v>38</v>
      </c>
      <c r="B32" s="49" t="s">
        <v>39</v>
      </c>
      <c r="C32" s="49"/>
      <c r="D32" s="49"/>
      <c r="E32" s="49"/>
      <c r="F32" s="49"/>
      <c r="G32" s="49"/>
      <c r="H32" s="49"/>
      <c r="I32" s="49"/>
    </row>
    <row r="33" spans="1:9" ht="51.75" customHeight="1" x14ac:dyDescent="0.3">
      <c r="A33" s="15" t="s">
        <v>40</v>
      </c>
      <c r="B33" s="50" t="s">
        <v>41</v>
      </c>
      <c r="C33" s="50"/>
      <c r="D33" s="50"/>
      <c r="E33" s="50"/>
      <c r="F33" s="50"/>
      <c r="G33" s="50"/>
      <c r="H33" s="50"/>
      <c r="I33" s="50"/>
    </row>
    <row r="34" spans="1:9" ht="15" customHeight="1" x14ac:dyDescent="0.3"/>
    <row r="35" spans="1:9" ht="24" customHeight="1" x14ac:dyDescent="0.3">
      <c r="A35" s="43" t="s">
        <v>42</v>
      </c>
      <c r="B35" s="43"/>
      <c r="C35" s="43"/>
      <c r="D35" s="43"/>
      <c r="E35" s="43"/>
      <c r="F35" s="43"/>
      <c r="G35" s="43"/>
      <c r="H35" s="43"/>
      <c r="I35" s="43"/>
    </row>
    <row r="36" spans="1:9" ht="18" customHeight="1" x14ac:dyDescent="0.3">
      <c r="A36" s="2" t="s">
        <v>43</v>
      </c>
      <c r="B36" s="2" t="s">
        <v>44</v>
      </c>
      <c r="C36" s="2" t="s">
        <v>45</v>
      </c>
      <c r="D36" s="48" t="s">
        <v>46</v>
      </c>
      <c r="E36" s="48"/>
      <c r="F36" s="48"/>
      <c r="G36" s="48"/>
      <c r="H36" s="48"/>
      <c r="I36" s="48"/>
    </row>
    <row r="37" spans="1:9" ht="51.75" customHeight="1" x14ac:dyDescent="0.3">
      <c r="A37" s="14" t="s">
        <v>47</v>
      </c>
      <c r="B37" s="16" t="s">
        <v>48</v>
      </c>
      <c r="C37" s="17" t="s">
        <v>49</v>
      </c>
      <c r="D37" s="42" t="s">
        <v>50</v>
      </c>
      <c r="E37" s="42"/>
      <c r="F37" s="42"/>
      <c r="G37" s="42"/>
      <c r="H37" s="42"/>
      <c r="I37" s="42"/>
    </row>
    <row r="38" spans="1:9" ht="51.75" customHeight="1" x14ac:dyDescent="0.3">
      <c r="A38" s="18" t="s">
        <v>51</v>
      </c>
      <c r="B38" s="19" t="s">
        <v>49</v>
      </c>
      <c r="C38" s="17" t="s">
        <v>49</v>
      </c>
      <c r="D38" s="46" t="s">
        <v>52</v>
      </c>
      <c r="E38" s="46"/>
      <c r="F38" s="46"/>
      <c r="G38" s="46"/>
      <c r="H38" s="46"/>
      <c r="I38" s="46"/>
    </row>
    <row r="39" spans="1:9" ht="51.75" customHeight="1" x14ac:dyDescent="0.3">
      <c r="A39" s="14" t="s">
        <v>53</v>
      </c>
      <c r="B39" s="19" t="s">
        <v>49</v>
      </c>
      <c r="C39" s="20" t="s">
        <v>48</v>
      </c>
      <c r="D39" s="42" t="s">
        <v>54</v>
      </c>
      <c r="E39" s="42"/>
      <c r="F39" s="42"/>
      <c r="G39" s="42"/>
      <c r="H39" s="42"/>
      <c r="I39" s="42"/>
    </row>
    <row r="40" spans="1:9" ht="51.75" customHeight="1" x14ac:dyDescent="0.3">
      <c r="A40" s="18" t="s">
        <v>55</v>
      </c>
      <c r="B40" s="16" t="s">
        <v>48</v>
      </c>
      <c r="C40" s="20" t="s">
        <v>48</v>
      </c>
      <c r="D40" s="46" t="s">
        <v>56</v>
      </c>
      <c r="E40" s="46"/>
      <c r="F40" s="46"/>
      <c r="G40" s="46"/>
      <c r="H40" s="46"/>
      <c r="I40" s="46"/>
    </row>
    <row r="41" spans="1:9" ht="51.75" customHeight="1" x14ac:dyDescent="0.3">
      <c r="A41" s="14" t="s">
        <v>57</v>
      </c>
      <c r="B41" s="19" t="s">
        <v>49</v>
      </c>
      <c r="C41" s="17" t="s">
        <v>49</v>
      </c>
      <c r="D41" s="42" t="s">
        <v>58</v>
      </c>
      <c r="E41" s="42"/>
      <c r="F41" s="42"/>
      <c r="G41" s="42"/>
      <c r="H41" s="42"/>
      <c r="I41" s="42"/>
    </row>
    <row r="42" spans="1:9" ht="51.75" customHeight="1" x14ac:dyDescent="0.3">
      <c r="A42" s="18" t="s">
        <v>59</v>
      </c>
      <c r="B42" s="19" t="s">
        <v>49</v>
      </c>
      <c r="C42" s="21" t="s">
        <v>60</v>
      </c>
      <c r="D42" s="46" t="s">
        <v>61</v>
      </c>
      <c r="E42" s="46"/>
      <c r="F42" s="46"/>
      <c r="G42" s="46"/>
      <c r="H42" s="46"/>
      <c r="I42" s="46"/>
    </row>
    <row r="43" spans="1:9" ht="51.75" customHeight="1" x14ac:dyDescent="0.3">
      <c r="A43" s="14" t="s">
        <v>62</v>
      </c>
      <c r="B43" s="16" t="s">
        <v>48</v>
      </c>
      <c r="C43" s="17" t="s">
        <v>49</v>
      </c>
      <c r="D43" s="42" t="s">
        <v>63</v>
      </c>
      <c r="E43" s="42"/>
      <c r="F43" s="42"/>
      <c r="G43" s="42"/>
      <c r="H43" s="42"/>
      <c r="I43" s="42"/>
    </row>
    <row r="44" spans="1:9" ht="13" customHeight="1" x14ac:dyDescent="0.3"/>
    <row r="45" spans="1:9" ht="24" customHeight="1" x14ac:dyDescent="0.3">
      <c r="A45" s="43" t="s">
        <v>64</v>
      </c>
      <c r="B45" s="43"/>
      <c r="C45" s="43"/>
      <c r="D45" s="43"/>
      <c r="E45" s="43"/>
      <c r="F45" s="43"/>
      <c r="G45" s="43"/>
      <c r="H45" s="43"/>
      <c r="I45" s="43"/>
    </row>
    <row r="46" spans="1:9" ht="18" customHeight="1" x14ac:dyDescent="0.3">
      <c r="A46" s="13" t="s">
        <v>3</v>
      </c>
      <c r="B46" s="2" t="s">
        <v>65</v>
      </c>
      <c r="C46" s="47" t="s">
        <v>66</v>
      </c>
      <c r="D46" s="47"/>
      <c r="E46" s="47"/>
      <c r="F46" s="48" t="s">
        <v>67</v>
      </c>
      <c r="G46" s="48"/>
      <c r="H46" s="48"/>
      <c r="I46" s="48"/>
    </row>
    <row r="47" spans="1:9" ht="42" customHeight="1" x14ac:dyDescent="0.3">
      <c r="A47" s="6" t="s">
        <v>68</v>
      </c>
      <c r="B47" s="22" t="s">
        <v>69</v>
      </c>
      <c r="C47" s="45" t="s">
        <v>70</v>
      </c>
      <c r="D47" s="45"/>
      <c r="E47" s="45"/>
      <c r="F47" s="42" t="s">
        <v>71</v>
      </c>
      <c r="G47" s="42"/>
      <c r="H47" s="42"/>
      <c r="I47" s="42"/>
    </row>
    <row r="48" spans="1:9" ht="42" customHeight="1" x14ac:dyDescent="0.3">
      <c r="A48" s="4" t="s">
        <v>72</v>
      </c>
      <c r="B48" s="23" t="s">
        <v>73</v>
      </c>
      <c r="C48" s="39" t="s">
        <v>74</v>
      </c>
      <c r="D48" s="39"/>
      <c r="E48" s="39"/>
      <c r="F48" s="40" t="s">
        <v>75</v>
      </c>
      <c r="G48" s="40"/>
      <c r="H48" s="40"/>
      <c r="I48" s="40"/>
    </row>
    <row r="49" spans="1:9" ht="42" customHeight="1" x14ac:dyDescent="0.3">
      <c r="A49" s="6" t="s">
        <v>76</v>
      </c>
      <c r="B49" s="22" t="s">
        <v>77</v>
      </c>
      <c r="C49" s="45" t="s">
        <v>70</v>
      </c>
      <c r="D49" s="45"/>
      <c r="E49" s="45"/>
      <c r="F49" s="42" t="s">
        <v>78</v>
      </c>
      <c r="G49" s="42"/>
      <c r="H49" s="42"/>
      <c r="I49" s="42"/>
    </row>
    <row r="50" spans="1:9" ht="42" customHeight="1" x14ac:dyDescent="0.3">
      <c r="A50" s="4" t="s">
        <v>79</v>
      </c>
      <c r="B50" s="23" t="s">
        <v>80</v>
      </c>
      <c r="C50" s="39" t="s">
        <v>74</v>
      </c>
      <c r="D50" s="39"/>
      <c r="E50" s="39"/>
      <c r="F50" s="40" t="s">
        <v>81</v>
      </c>
      <c r="G50" s="40"/>
      <c r="H50" s="40"/>
      <c r="I50" s="40"/>
    </row>
    <row r="51" spans="1:9" ht="42" customHeight="1" x14ac:dyDescent="0.3">
      <c r="A51" s="6" t="s">
        <v>82</v>
      </c>
      <c r="B51" s="22" t="s">
        <v>83</v>
      </c>
      <c r="C51" s="39" t="s">
        <v>74</v>
      </c>
      <c r="D51" s="39"/>
      <c r="E51" s="39"/>
      <c r="F51" s="42" t="s">
        <v>84</v>
      </c>
      <c r="G51" s="42"/>
      <c r="H51" s="42"/>
      <c r="I51" s="42"/>
    </row>
    <row r="52" spans="1:9" ht="42" customHeight="1" x14ac:dyDescent="0.3">
      <c r="A52" s="4" t="s">
        <v>85</v>
      </c>
      <c r="B52" s="23" t="s">
        <v>86</v>
      </c>
      <c r="C52" s="39" t="s">
        <v>74</v>
      </c>
      <c r="D52" s="39"/>
      <c r="E52" s="39"/>
      <c r="F52" s="40" t="s">
        <v>87</v>
      </c>
      <c r="G52" s="40"/>
      <c r="H52" s="40"/>
      <c r="I52" s="40"/>
    </row>
    <row r="53" spans="1:9" ht="42" customHeight="1" x14ac:dyDescent="0.3">
      <c r="A53" s="6" t="s">
        <v>88</v>
      </c>
      <c r="B53" s="24">
        <v>4.2000000000000003E-2</v>
      </c>
      <c r="C53" s="39" t="s">
        <v>74</v>
      </c>
      <c r="D53" s="39"/>
      <c r="E53" s="39"/>
      <c r="F53" s="42" t="s">
        <v>89</v>
      </c>
      <c r="G53" s="42"/>
      <c r="H53" s="42"/>
      <c r="I53" s="42"/>
    </row>
    <row r="54" spans="1:9" ht="42" customHeight="1" x14ac:dyDescent="0.3">
      <c r="A54" s="4" t="s">
        <v>90</v>
      </c>
      <c r="B54" s="23" t="s">
        <v>91</v>
      </c>
      <c r="C54" s="41" t="s">
        <v>92</v>
      </c>
      <c r="D54" s="41"/>
      <c r="E54" s="41"/>
      <c r="F54" s="40" t="s">
        <v>93</v>
      </c>
      <c r="G54" s="40"/>
      <c r="H54" s="40"/>
      <c r="I54" s="40"/>
    </row>
    <row r="55" spans="1:9" ht="42" customHeight="1" x14ac:dyDescent="0.3">
      <c r="A55" s="6" t="s">
        <v>94</v>
      </c>
      <c r="B55" s="22" t="s">
        <v>95</v>
      </c>
      <c r="C55" s="39" t="s">
        <v>74</v>
      </c>
      <c r="D55" s="39"/>
      <c r="E55" s="39"/>
      <c r="F55" s="42" t="s">
        <v>96</v>
      </c>
      <c r="G55" s="42"/>
      <c r="H55" s="42"/>
      <c r="I55" s="42"/>
    </row>
    <row r="56" spans="1:9" ht="42" customHeight="1" x14ac:dyDescent="0.3">
      <c r="A56" s="4" t="s">
        <v>97</v>
      </c>
      <c r="B56" s="23" t="s">
        <v>98</v>
      </c>
      <c r="C56" s="39" t="s">
        <v>74</v>
      </c>
      <c r="D56" s="39"/>
      <c r="E56" s="39"/>
      <c r="F56" s="40" t="s">
        <v>99</v>
      </c>
      <c r="G56" s="40"/>
      <c r="H56" s="40"/>
      <c r="I56" s="40"/>
    </row>
    <row r="57" spans="1:9" ht="42" customHeight="1" x14ac:dyDescent="0.3">
      <c r="A57" s="6" t="s">
        <v>100</v>
      </c>
      <c r="B57" s="22" t="s">
        <v>101</v>
      </c>
      <c r="C57" s="41" t="s">
        <v>92</v>
      </c>
      <c r="D57" s="41"/>
      <c r="E57" s="41"/>
      <c r="F57" s="42" t="s">
        <v>102</v>
      </c>
      <c r="G57" s="42"/>
      <c r="H57" s="42"/>
      <c r="I57" s="42"/>
    </row>
    <row r="58" spans="1:9" ht="12.5" customHeight="1" x14ac:dyDescent="0.3"/>
    <row r="59" spans="1:9" ht="24" customHeight="1" x14ac:dyDescent="0.3">
      <c r="A59" s="43" t="s">
        <v>103</v>
      </c>
      <c r="B59" s="43"/>
      <c r="C59" s="43"/>
      <c r="D59" s="43"/>
      <c r="E59" s="43"/>
      <c r="F59" s="43"/>
      <c r="G59" s="43"/>
      <c r="H59" s="43"/>
      <c r="I59" s="43"/>
    </row>
    <row r="60" spans="1:9" ht="42" customHeight="1" x14ac:dyDescent="0.3">
      <c r="A60" s="44" t="s">
        <v>104</v>
      </c>
      <c r="B60" s="44"/>
      <c r="C60" s="44"/>
      <c r="D60" s="44"/>
      <c r="E60" s="44"/>
      <c r="F60" s="44"/>
      <c r="G60" s="44"/>
      <c r="H60" s="44"/>
      <c r="I60" s="44"/>
    </row>
    <row r="61" spans="1:9" ht="24" customHeight="1" x14ac:dyDescent="0.3">
      <c r="A61" s="37" t="s">
        <v>105</v>
      </c>
      <c r="B61" s="37"/>
      <c r="C61" s="37"/>
      <c r="D61" s="37"/>
      <c r="E61" s="37"/>
      <c r="F61" s="37"/>
      <c r="G61" s="37"/>
      <c r="H61" s="37"/>
      <c r="I61" s="37"/>
    </row>
    <row r="62" spans="1:9" ht="13.5" customHeight="1" x14ac:dyDescent="0.3"/>
    <row r="63" spans="1:9" ht="19.5" customHeight="1" x14ac:dyDescent="0.3">
      <c r="A63" s="38" t="s">
        <v>106</v>
      </c>
      <c r="B63" s="38"/>
      <c r="C63" s="38"/>
      <c r="D63" s="38"/>
      <c r="E63" s="38"/>
      <c r="F63" s="38"/>
      <c r="G63" s="38"/>
      <c r="H63" s="38"/>
      <c r="I63" s="38"/>
    </row>
    <row r="64" spans="1:9" ht="60" customHeight="1" x14ac:dyDescent="0.3">
      <c r="A64" s="33" t="s">
        <v>107</v>
      </c>
      <c r="B64" s="33"/>
      <c r="C64" s="33"/>
      <c r="D64" s="33"/>
      <c r="E64" s="33"/>
      <c r="F64" s="33"/>
      <c r="G64" s="33"/>
      <c r="H64" s="33"/>
      <c r="I64" s="33"/>
    </row>
    <row r="65" spans="1:9" ht="7.5" customHeight="1" x14ac:dyDescent="0.3"/>
    <row r="66" spans="1:9" ht="19.5" customHeight="1" x14ac:dyDescent="0.3">
      <c r="A66" s="38" t="s">
        <v>108</v>
      </c>
      <c r="B66" s="38"/>
      <c r="C66" s="38"/>
      <c r="D66" s="38"/>
      <c r="E66" s="38"/>
      <c r="F66" s="38"/>
      <c r="G66" s="38"/>
      <c r="H66" s="38"/>
      <c r="I66" s="38"/>
    </row>
    <row r="67" spans="1:9" ht="60" customHeight="1" x14ac:dyDescent="0.3">
      <c r="A67" s="33" t="s">
        <v>109</v>
      </c>
      <c r="B67" s="33"/>
      <c r="C67" s="33"/>
      <c r="D67" s="33"/>
      <c r="E67" s="33"/>
      <c r="F67" s="33"/>
      <c r="G67" s="33"/>
      <c r="H67" s="33"/>
      <c r="I67" s="33"/>
    </row>
    <row r="68" spans="1:9" ht="7.5" customHeight="1" x14ac:dyDescent="0.3"/>
    <row r="69" spans="1:9" ht="19.5" customHeight="1" x14ac:dyDescent="0.3">
      <c r="A69" s="38" t="s">
        <v>110</v>
      </c>
      <c r="B69" s="38"/>
      <c r="C69" s="38"/>
      <c r="D69" s="38"/>
      <c r="E69" s="38"/>
      <c r="F69" s="38"/>
      <c r="G69" s="38"/>
      <c r="H69" s="38"/>
      <c r="I69" s="38"/>
    </row>
    <row r="70" spans="1:9" ht="60" customHeight="1" x14ac:dyDescent="0.3">
      <c r="A70" s="33" t="s">
        <v>111</v>
      </c>
      <c r="B70" s="33"/>
      <c r="C70" s="33"/>
      <c r="D70" s="33"/>
      <c r="E70" s="33"/>
      <c r="F70" s="33"/>
      <c r="G70" s="33"/>
      <c r="H70" s="33"/>
      <c r="I70" s="33"/>
    </row>
    <row r="71" spans="1:9" ht="7.5" customHeight="1" x14ac:dyDescent="0.3"/>
    <row r="72" spans="1:9" ht="19.5" customHeight="1" x14ac:dyDescent="0.3">
      <c r="A72" s="34" t="s">
        <v>112</v>
      </c>
      <c r="B72" s="34"/>
      <c r="C72" s="34"/>
      <c r="D72" s="34"/>
      <c r="E72" s="34"/>
      <c r="F72" s="34"/>
      <c r="G72" s="34"/>
      <c r="H72" s="34"/>
      <c r="I72" s="34"/>
    </row>
    <row r="73" spans="1:9" ht="60" customHeight="1" x14ac:dyDescent="0.3">
      <c r="A73" s="35" t="s">
        <v>113</v>
      </c>
      <c r="B73" s="35"/>
      <c r="C73" s="35"/>
      <c r="D73" s="35"/>
      <c r="E73" s="35"/>
      <c r="F73" s="35"/>
      <c r="G73" s="35"/>
      <c r="H73" s="35"/>
      <c r="I73" s="35"/>
    </row>
    <row r="74" spans="1:9" ht="7.5" customHeight="1" x14ac:dyDescent="0.3"/>
    <row r="76" spans="1:9" ht="27.75" customHeight="1" x14ac:dyDescent="0.3">
      <c r="A76" s="36" t="s">
        <v>114</v>
      </c>
      <c r="B76" s="36"/>
      <c r="C76" s="36"/>
      <c r="D76" s="36"/>
      <c r="E76" s="36"/>
      <c r="F76" s="36"/>
      <c r="G76" s="36"/>
      <c r="H76" s="36"/>
      <c r="I76" s="36"/>
    </row>
  </sheetData>
  <mergeCells count="58">
    <mergeCell ref="B27:I27"/>
    <mergeCell ref="A1:I1"/>
    <mergeCell ref="A2:I2"/>
    <mergeCell ref="A4:I4"/>
    <mergeCell ref="A17:I17"/>
    <mergeCell ref="A26:I26"/>
    <mergeCell ref="D40:I40"/>
    <mergeCell ref="B28:I28"/>
    <mergeCell ref="B29:I29"/>
    <mergeCell ref="B30:I30"/>
    <mergeCell ref="B31:I31"/>
    <mergeCell ref="B32:I32"/>
    <mergeCell ref="B33:I33"/>
    <mergeCell ref="A35:I35"/>
    <mergeCell ref="D36:I36"/>
    <mergeCell ref="D37:I37"/>
    <mergeCell ref="D38:I38"/>
    <mergeCell ref="D39:I39"/>
    <mergeCell ref="D41:I41"/>
    <mergeCell ref="D42:I42"/>
    <mergeCell ref="D43:I43"/>
    <mergeCell ref="A45:I45"/>
    <mergeCell ref="C46:E46"/>
    <mergeCell ref="F46:I46"/>
    <mergeCell ref="C47:E47"/>
    <mergeCell ref="F47:I47"/>
    <mergeCell ref="C48:E48"/>
    <mergeCell ref="F48:I48"/>
    <mergeCell ref="C49:E49"/>
    <mergeCell ref="F49:I49"/>
    <mergeCell ref="C50:E50"/>
    <mergeCell ref="F50:I50"/>
    <mergeCell ref="C51:E51"/>
    <mergeCell ref="F51:I51"/>
    <mergeCell ref="C52:E52"/>
    <mergeCell ref="F52:I52"/>
    <mergeCell ref="A60:I60"/>
    <mergeCell ref="C53:E53"/>
    <mergeCell ref="F53:I53"/>
    <mergeCell ref="C54:E54"/>
    <mergeCell ref="F54:I54"/>
    <mergeCell ref="C55:E55"/>
    <mergeCell ref="F55:I55"/>
    <mergeCell ref="C56:E56"/>
    <mergeCell ref="F56:I56"/>
    <mergeCell ref="C57:E57"/>
    <mergeCell ref="F57:I57"/>
    <mergeCell ref="A59:I59"/>
    <mergeCell ref="A70:I70"/>
    <mergeCell ref="A72:I72"/>
    <mergeCell ref="A73:I73"/>
    <mergeCell ref="A76:I76"/>
    <mergeCell ref="A61:I61"/>
    <mergeCell ref="A63:I63"/>
    <mergeCell ref="A64:I64"/>
    <mergeCell ref="A66:I66"/>
    <mergeCell ref="A67:I67"/>
    <mergeCell ref="A69:I6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1:J7"/>
  <sheetViews>
    <sheetView showGridLines="0" tabSelected="1" workbookViewId="0">
      <selection activeCell="E1" sqref="E1:J1"/>
    </sheetView>
  </sheetViews>
  <sheetFormatPr defaultColWidth="8.6328125" defaultRowHeight="14.5" x14ac:dyDescent="0.35"/>
  <cols>
    <col min="5" max="5" width="7.08984375" bestFit="1" customWidth="1"/>
    <col min="6" max="6" width="16.54296875" bestFit="1" customWidth="1"/>
    <col min="7" max="10" width="14" customWidth="1"/>
  </cols>
  <sheetData>
    <row r="1" spans="5:10" ht="18" x14ac:dyDescent="0.35">
      <c r="E1" s="53" t="s">
        <v>115</v>
      </c>
      <c r="F1" s="53"/>
      <c r="G1" s="53"/>
      <c r="H1" s="53"/>
      <c r="I1" s="53"/>
      <c r="J1" s="53"/>
    </row>
    <row r="2" spans="5:10" ht="18" customHeight="1" x14ac:dyDescent="0.35">
      <c r="E2" s="25" t="s">
        <v>116</v>
      </c>
      <c r="F2" s="25" t="s">
        <v>117</v>
      </c>
      <c r="G2" s="25" t="s">
        <v>118</v>
      </c>
      <c r="H2" s="25" t="s">
        <v>119</v>
      </c>
      <c r="I2" s="25" t="s">
        <v>120</v>
      </c>
      <c r="J2" s="25" t="s">
        <v>121</v>
      </c>
    </row>
    <row r="3" spans="5:10" ht="16.5" customHeight="1" x14ac:dyDescent="0.35">
      <c r="E3" s="26" t="s">
        <v>4</v>
      </c>
      <c r="F3" s="27">
        <v>245</v>
      </c>
      <c r="G3" s="27">
        <v>55</v>
      </c>
      <c r="H3" s="28" t="s">
        <v>122</v>
      </c>
      <c r="I3" s="28" t="s">
        <v>122</v>
      </c>
      <c r="J3" s="29">
        <v>0.27760000000000001</v>
      </c>
    </row>
    <row r="4" spans="5:10" ht="16.5" customHeight="1" x14ac:dyDescent="0.35">
      <c r="E4" s="30" t="s">
        <v>5</v>
      </c>
      <c r="F4" s="31">
        <v>265.5</v>
      </c>
      <c r="G4" s="31">
        <v>57</v>
      </c>
      <c r="H4" s="32">
        <f>(F4-F3)/F3</f>
        <v>8.3673469387755106E-2</v>
      </c>
      <c r="I4" s="32">
        <f t="shared" ref="H4:I7" si="0">(G4-G3)/G3</f>
        <v>3.6363636363636362E-2</v>
      </c>
      <c r="J4" s="32">
        <v>0.26550000000000001</v>
      </c>
    </row>
    <row r="5" spans="5:10" ht="16.5" customHeight="1" x14ac:dyDescent="0.35">
      <c r="E5" s="26" t="s">
        <v>6</v>
      </c>
      <c r="F5" s="27">
        <v>310</v>
      </c>
      <c r="G5" s="27">
        <v>67.599999999999994</v>
      </c>
      <c r="H5" s="29">
        <f t="shared" si="0"/>
        <v>0.16760828625235405</v>
      </c>
      <c r="I5" s="29">
        <f t="shared" si="0"/>
        <v>0.18596491228070167</v>
      </c>
      <c r="J5" s="29">
        <v>0.2545</v>
      </c>
    </row>
    <row r="6" spans="5:10" ht="16.5" customHeight="1" x14ac:dyDescent="0.35">
      <c r="E6" s="30" t="s">
        <v>7</v>
      </c>
      <c r="F6" s="31">
        <v>345.9</v>
      </c>
      <c r="G6" s="31">
        <v>63</v>
      </c>
      <c r="H6" s="32">
        <f t="shared" si="0"/>
        <v>0.11580645161290315</v>
      </c>
      <c r="I6" s="32">
        <f t="shared" si="0"/>
        <v>-6.8047337278106426E-2</v>
      </c>
      <c r="J6" s="32">
        <v>0.23269999999999999</v>
      </c>
    </row>
    <row r="7" spans="5:10" ht="16.5" customHeight="1" x14ac:dyDescent="0.35">
      <c r="E7" s="26" t="s">
        <v>8</v>
      </c>
      <c r="F7" s="27">
        <v>388.7</v>
      </c>
      <c r="G7" s="27">
        <v>69.8</v>
      </c>
      <c r="H7" s="29">
        <f t="shared" si="0"/>
        <v>0.12373518357906914</v>
      </c>
      <c r="I7" s="29">
        <f t="shared" si="0"/>
        <v>0.10793650793650789</v>
      </c>
      <c r="J7" s="29">
        <v>0.26779999999999998</v>
      </c>
    </row>
  </sheetData>
  <mergeCells count="1">
    <mergeCell ref="E1:J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Financial Analysis</vt:lpstr>
      <vt:lpstr>Trend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2026-05-04T06:05:36Z</dcterms:created>
  <dcterms:modified xsi:type="dcterms:W3CDTF">2026-05-05T08:05:58Z</dcterms:modified>
</cp:coreProperties>
</file>